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72D24C9-2D57-4E24-8411-9A2A77D31703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Level 1" sheetId="1" r:id="rId1"/>
    <sheet name="Level 2" sheetId="2" r:id="rId2"/>
    <sheet name="Level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" l="1"/>
  <c r="F8" i="3"/>
  <c r="G3" i="3"/>
  <c r="G4" i="3"/>
  <c r="G5" i="3"/>
  <c r="G6" i="3"/>
  <c r="G7" i="3"/>
  <c r="F13" i="2"/>
  <c r="G13" i="2"/>
  <c r="E13" i="2"/>
  <c r="G4" i="2"/>
  <c r="G5" i="2"/>
  <c r="G6" i="2"/>
  <c r="G7" i="2"/>
  <c r="G8" i="2"/>
  <c r="G9" i="2"/>
  <c r="G10" i="2"/>
  <c r="G11" i="2"/>
  <c r="G12" i="2"/>
  <c r="G3" i="2"/>
  <c r="F1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18" i="1"/>
  <c r="G8" i="3" l="1"/>
  <c r="H18" i="1"/>
</calcChain>
</file>

<file path=xl/sharedStrings.xml><?xml version="1.0" encoding="utf-8"?>
<sst xmlns="http://schemas.openxmlformats.org/spreadsheetml/2006/main" count="148" uniqueCount="82">
  <si>
    <t>SKU</t>
  </si>
  <si>
    <t>Nama Barang</t>
  </si>
  <si>
    <t>Kategori</t>
  </si>
  <si>
    <t>Level</t>
  </si>
  <si>
    <t>Qty Awal</t>
  </si>
  <si>
    <t>Harga Beli Est.</t>
  </si>
  <si>
    <t>BKL-FIL-001</t>
  </si>
  <si>
    <t>Filter Oli Avanza/Xenia</t>
  </si>
  <si>
    <t>Filter</t>
  </si>
  <si>
    <t>L1</t>
  </si>
  <si>
    <t>BKL-FIL-002</t>
  </si>
  <si>
    <t>Filter Oli Rush/Terios</t>
  </si>
  <si>
    <t>BKL-FIL-003</t>
  </si>
  <si>
    <t>Filter Oli Innova</t>
  </si>
  <si>
    <t>BKL-FIL-004</t>
  </si>
  <si>
    <t>Filter Udara Avanza</t>
  </si>
  <si>
    <t>BKL-FIL-005</t>
  </si>
  <si>
    <t>Filter Udara Rush</t>
  </si>
  <si>
    <t>BKL-FIL-007</t>
  </si>
  <si>
    <t>Filter AC Avanza</t>
  </si>
  <si>
    <t>BKL-BUS-001</t>
  </si>
  <si>
    <t>Busi NGK Mobil</t>
  </si>
  <si>
    <t>Busi</t>
  </si>
  <si>
    <t>BKL-BUS-002</t>
  </si>
  <si>
    <t>Busi Iridium Mobil</t>
  </si>
  <si>
    <t>BKL-REM-001</t>
  </si>
  <si>
    <t>Kampas Rem Depan Avanza</t>
  </si>
  <si>
    <t>Rem</t>
  </si>
  <si>
    <t>BKL-REM-002</t>
  </si>
  <si>
    <t>Kampas Rem Belakang Avanza</t>
  </si>
  <si>
    <t>BKL-CVT-001</t>
  </si>
  <si>
    <t>V Belt Beat</t>
  </si>
  <si>
    <t>CVT</t>
  </si>
  <si>
    <t>BKL-CVT-002</t>
  </si>
  <si>
    <t>V Belt Vario</t>
  </si>
  <si>
    <t>BKL-KLS-001</t>
  </si>
  <si>
    <t>Relay 4 Pin</t>
  </si>
  <si>
    <t>Kelistrikan</t>
  </si>
  <si>
    <t>BKL-OLI-001</t>
  </si>
  <si>
    <t>Oli Mobil 10W40</t>
  </si>
  <si>
    <t>Oli</t>
  </si>
  <si>
    <t>BKL-OLI-003</t>
  </si>
  <si>
    <t>Oli Motor Matic</t>
  </si>
  <si>
    <t>BKL-KAK-001</t>
  </si>
  <si>
    <t>Tie Rod Avanza</t>
  </si>
  <si>
    <t>Kaki-kaki</t>
  </si>
  <si>
    <t>L2</t>
  </si>
  <si>
    <t>BKL-KAK-002</t>
  </si>
  <si>
    <t>Rack End Avanza</t>
  </si>
  <si>
    <t>BKL-KAK-003</t>
  </si>
  <si>
    <t>Ball Joint Avanza</t>
  </si>
  <si>
    <t>BKL-KAK-004</t>
  </si>
  <si>
    <t>Link Stabilizer Avanza</t>
  </si>
  <si>
    <t>BKL-KAK-005</t>
  </si>
  <si>
    <t>Bearing Depan Avanza</t>
  </si>
  <si>
    <t>BKL-KOP-001</t>
  </si>
  <si>
    <t>Kampas Kopling Avanza</t>
  </si>
  <si>
    <t>Kopling</t>
  </si>
  <si>
    <t>BKL-KLS-101</t>
  </si>
  <si>
    <t>Aki NS40</t>
  </si>
  <si>
    <t>BKL-KLS-102</t>
  </si>
  <si>
    <t>Aki NS60</t>
  </si>
  <si>
    <t>BKL-PND-001</t>
  </si>
  <si>
    <t>Water Pump Avanza</t>
  </si>
  <si>
    <t>Pendingin</t>
  </si>
  <si>
    <t>BKL-PND-002</t>
  </si>
  <si>
    <t>Thermostat Avanza</t>
  </si>
  <si>
    <t>BKL-MES-001</t>
  </si>
  <si>
    <t>Alternator Avanza</t>
  </si>
  <si>
    <t>Mesin</t>
  </si>
  <si>
    <t>L3</t>
  </si>
  <si>
    <t>BKL-MES-002</t>
  </si>
  <si>
    <t>Dinamo Starter Avanza</t>
  </si>
  <si>
    <t>BKL-MES-003</t>
  </si>
  <si>
    <t>Master Rem Avanza</t>
  </si>
  <si>
    <t>BKL-MES-004</t>
  </si>
  <si>
    <t>Radiator Avanza</t>
  </si>
  <si>
    <t>BKL-MES-005</t>
  </si>
  <si>
    <t>Sensor O2 Avanza</t>
  </si>
  <si>
    <t>No</t>
  </si>
  <si>
    <t>Jumlah</t>
  </si>
  <si>
    <t>Daftar Kebutuhan "BENGKELIN"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</si>
</sst>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0" fillId="0" borderId="0" xfId="1" applyFont="1"/>
    <xf numFmtId="43" fontId="0" fillId="0" borderId="1" xfId="1" applyFont="1" applyBorder="1"/>
    <xf numFmtId="0" fontId="3" fillId="2" borderId="1" xfId="0" applyFont="1" applyFill="1" applyBorder="1"/>
    <xf numFmtId="43" fontId="3" fillId="2" borderId="1" xfId="1" applyFont="1" applyFill="1" applyBorder="1"/>
    <xf numFmtId="0" fontId="1" fillId="2" borderId="1" xfId="0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43" fontId="6" fillId="0" borderId="1" xfId="1" applyFont="1" applyBorder="1"/>
    <xf numFmtId="0" fontId="4" fillId="2" borderId="1" xfId="0" applyFont="1" applyFill="1" applyBorder="1"/>
    <xf numFmtId="167" fontId="4" fillId="2" borderId="1" xfId="1" applyNumberFormat="1" applyFont="1" applyFill="1" applyBorder="1" applyAlignment="1">
      <alignment horizontal="center"/>
    </xf>
    <xf numFmtId="43" fontId="4" fillId="2" borderId="1" xfId="1" applyFont="1" applyFill="1" applyBorder="1"/>
    <xf numFmtId="0" fontId="4" fillId="0" borderId="4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H1"/>
    </sheetView>
  </sheetViews>
  <sheetFormatPr defaultRowHeight="14.25" x14ac:dyDescent="0.45"/>
  <cols>
    <col min="1" max="1" width="4.46484375" customWidth="1"/>
    <col min="2" max="2" width="14.46484375" customWidth="1"/>
    <col min="3" max="3" width="28.46484375" customWidth="1"/>
    <col min="4" max="4" width="14.59765625" customWidth="1"/>
    <col min="5" max="6" width="10.3984375" customWidth="1"/>
    <col min="7" max="8" width="17.33203125" customWidth="1"/>
  </cols>
  <sheetData>
    <row r="1" spans="1:8" ht="18" x14ac:dyDescent="0.55000000000000004">
      <c r="A1" s="18" t="s">
        <v>81</v>
      </c>
      <c r="B1" s="18"/>
      <c r="C1" s="18"/>
      <c r="D1" s="18"/>
      <c r="E1" s="18"/>
      <c r="F1" s="18"/>
      <c r="G1" s="18"/>
      <c r="H1" s="18"/>
    </row>
    <row r="2" spans="1:8" ht="15.75" x14ac:dyDescent="0.5">
      <c r="A2" s="5" t="s">
        <v>79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80</v>
      </c>
    </row>
    <row r="3" spans="1:8" ht="15.75" x14ac:dyDescent="0.5">
      <c r="A3" s="2">
        <v>1</v>
      </c>
      <c r="B3" s="2" t="s">
        <v>6</v>
      </c>
      <c r="C3" s="2" t="s">
        <v>7</v>
      </c>
      <c r="D3" s="2" t="s">
        <v>8</v>
      </c>
      <c r="E3" s="3" t="s">
        <v>9</v>
      </c>
      <c r="F3" s="3">
        <v>30</v>
      </c>
      <c r="G3" s="4">
        <v>40000</v>
      </c>
      <c r="H3" s="4">
        <f>F3*G3</f>
        <v>1200000</v>
      </c>
    </row>
    <row r="4" spans="1:8" ht="15.75" x14ac:dyDescent="0.5">
      <c r="A4" s="2">
        <v>2</v>
      </c>
      <c r="B4" s="2" t="s">
        <v>10</v>
      </c>
      <c r="C4" s="2" t="s">
        <v>11</v>
      </c>
      <c r="D4" s="2" t="s">
        <v>8</v>
      </c>
      <c r="E4" s="3" t="s">
        <v>9</v>
      </c>
      <c r="F4" s="3">
        <v>15</v>
      </c>
      <c r="G4" s="4">
        <v>45000</v>
      </c>
      <c r="H4" s="4">
        <f t="shared" ref="H4:H17" si="0">F4*G4</f>
        <v>675000</v>
      </c>
    </row>
    <row r="5" spans="1:8" ht="15.75" x14ac:dyDescent="0.5">
      <c r="A5" s="2">
        <v>3</v>
      </c>
      <c r="B5" s="2" t="s">
        <v>12</v>
      </c>
      <c r="C5" s="2" t="s">
        <v>13</v>
      </c>
      <c r="D5" s="2" t="s">
        <v>8</v>
      </c>
      <c r="E5" s="3" t="s">
        <v>9</v>
      </c>
      <c r="F5" s="3">
        <v>10</v>
      </c>
      <c r="G5" s="4">
        <v>55000</v>
      </c>
      <c r="H5" s="4">
        <f t="shared" si="0"/>
        <v>550000</v>
      </c>
    </row>
    <row r="6" spans="1:8" ht="15.75" x14ac:dyDescent="0.5">
      <c r="A6" s="2">
        <v>4</v>
      </c>
      <c r="B6" s="2" t="s">
        <v>14</v>
      </c>
      <c r="C6" s="2" t="s">
        <v>15</v>
      </c>
      <c r="D6" s="2" t="s">
        <v>8</v>
      </c>
      <c r="E6" s="3" t="s">
        <v>9</v>
      </c>
      <c r="F6" s="3">
        <v>15</v>
      </c>
      <c r="G6" s="4">
        <v>60000</v>
      </c>
      <c r="H6" s="4">
        <f t="shared" si="0"/>
        <v>900000</v>
      </c>
    </row>
    <row r="7" spans="1:8" ht="15.75" x14ac:dyDescent="0.5">
      <c r="A7" s="2">
        <v>5</v>
      </c>
      <c r="B7" s="2" t="s">
        <v>16</v>
      </c>
      <c r="C7" s="2" t="s">
        <v>17</v>
      </c>
      <c r="D7" s="2" t="s">
        <v>8</v>
      </c>
      <c r="E7" s="3" t="s">
        <v>9</v>
      </c>
      <c r="F7" s="3">
        <v>10</v>
      </c>
      <c r="G7" s="4">
        <v>70000</v>
      </c>
      <c r="H7" s="4">
        <f t="shared" si="0"/>
        <v>700000</v>
      </c>
    </row>
    <row r="8" spans="1:8" ht="15.75" x14ac:dyDescent="0.5">
      <c r="A8" s="2">
        <v>6</v>
      </c>
      <c r="B8" s="2" t="s">
        <v>18</v>
      </c>
      <c r="C8" s="2" t="s">
        <v>19</v>
      </c>
      <c r="D8" s="2" t="s">
        <v>8</v>
      </c>
      <c r="E8" s="3" t="s">
        <v>9</v>
      </c>
      <c r="F8" s="3">
        <v>15</v>
      </c>
      <c r="G8" s="4">
        <v>35000</v>
      </c>
      <c r="H8" s="4">
        <f t="shared" si="0"/>
        <v>525000</v>
      </c>
    </row>
    <row r="9" spans="1:8" ht="15.75" x14ac:dyDescent="0.5">
      <c r="A9" s="2">
        <v>7</v>
      </c>
      <c r="B9" s="2" t="s">
        <v>20</v>
      </c>
      <c r="C9" s="2" t="s">
        <v>21</v>
      </c>
      <c r="D9" s="2" t="s">
        <v>22</v>
      </c>
      <c r="E9" s="3" t="s">
        <v>9</v>
      </c>
      <c r="F9" s="3">
        <v>60</v>
      </c>
      <c r="G9" s="4">
        <v>25000</v>
      </c>
      <c r="H9" s="4">
        <f t="shared" si="0"/>
        <v>1500000</v>
      </c>
    </row>
    <row r="10" spans="1:8" ht="15.75" x14ac:dyDescent="0.5">
      <c r="A10" s="2">
        <v>8</v>
      </c>
      <c r="B10" s="2" t="s">
        <v>23</v>
      </c>
      <c r="C10" s="2" t="s">
        <v>24</v>
      </c>
      <c r="D10" s="2" t="s">
        <v>22</v>
      </c>
      <c r="E10" s="3" t="s">
        <v>9</v>
      </c>
      <c r="F10" s="3">
        <v>20</v>
      </c>
      <c r="G10" s="4">
        <v>85000</v>
      </c>
      <c r="H10" s="4">
        <f t="shared" si="0"/>
        <v>1700000</v>
      </c>
    </row>
    <row r="11" spans="1:8" ht="15.75" x14ac:dyDescent="0.5">
      <c r="A11" s="2">
        <v>9</v>
      </c>
      <c r="B11" s="2" t="s">
        <v>25</v>
      </c>
      <c r="C11" s="2" t="s">
        <v>26</v>
      </c>
      <c r="D11" s="2" t="s">
        <v>27</v>
      </c>
      <c r="E11" s="3" t="s">
        <v>9</v>
      </c>
      <c r="F11" s="3">
        <v>10</v>
      </c>
      <c r="G11" s="4">
        <v>300000</v>
      </c>
      <c r="H11" s="4">
        <f t="shared" si="0"/>
        <v>3000000</v>
      </c>
    </row>
    <row r="12" spans="1:8" ht="15.75" x14ac:dyDescent="0.5">
      <c r="A12" s="2">
        <v>10</v>
      </c>
      <c r="B12" s="2" t="s">
        <v>28</v>
      </c>
      <c r="C12" s="2" t="s">
        <v>29</v>
      </c>
      <c r="D12" s="2" t="s">
        <v>27</v>
      </c>
      <c r="E12" s="3" t="s">
        <v>9</v>
      </c>
      <c r="F12" s="3">
        <v>10</v>
      </c>
      <c r="G12" s="4">
        <v>230000</v>
      </c>
      <c r="H12" s="4">
        <f t="shared" si="0"/>
        <v>2300000</v>
      </c>
    </row>
    <row r="13" spans="1:8" ht="15.75" x14ac:dyDescent="0.5">
      <c r="A13" s="2">
        <v>11</v>
      </c>
      <c r="B13" s="2" t="s">
        <v>30</v>
      </c>
      <c r="C13" s="2" t="s">
        <v>31</v>
      </c>
      <c r="D13" s="2" t="s">
        <v>32</v>
      </c>
      <c r="E13" s="3" t="s">
        <v>9</v>
      </c>
      <c r="F13" s="3">
        <v>10</v>
      </c>
      <c r="G13" s="4">
        <v>120000</v>
      </c>
      <c r="H13" s="4">
        <f t="shared" si="0"/>
        <v>1200000</v>
      </c>
    </row>
    <row r="14" spans="1:8" ht="15.75" x14ac:dyDescent="0.5">
      <c r="A14" s="2">
        <v>12</v>
      </c>
      <c r="B14" s="2" t="s">
        <v>33</v>
      </c>
      <c r="C14" s="2" t="s">
        <v>34</v>
      </c>
      <c r="D14" s="2" t="s">
        <v>32</v>
      </c>
      <c r="E14" s="3" t="s">
        <v>9</v>
      </c>
      <c r="F14" s="3">
        <v>10</v>
      </c>
      <c r="G14" s="4">
        <v>140000</v>
      </c>
      <c r="H14" s="4">
        <f t="shared" si="0"/>
        <v>1400000</v>
      </c>
    </row>
    <row r="15" spans="1:8" ht="15.75" x14ac:dyDescent="0.5">
      <c r="A15" s="2">
        <v>13</v>
      </c>
      <c r="B15" s="2" t="s">
        <v>35</v>
      </c>
      <c r="C15" s="2" t="s">
        <v>36</v>
      </c>
      <c r="D15" s="2" t="s">
        <v>37</v>
      </c>
      <c r="E15" s="3" t="s">
        <v>9</v>
      </c>
      <c r="F15" s="3">
        <v>20</v>
      </c>
      <c r="G15" s="4">
        <v>15000</v>
      </c>
      <c r="H15" s="4">
        <f t="shared" si="0"/>
        <v>300000</v>
      </c>
    </row>
    <row r="16" spans="1:8" ht="15.75" x14ac:dyDescent="0.5">
      <c r="A16" s="2">
        <v>14</v>
      </c>
      <c r="B16" s="2" t="s">
        <v>38</v>
      </c>
      <c r="C16" s="2" t="s">
        <v>39</v>
      </c>
      <c r="D16" s="2" t="s">
        <v>40</v>
      </c>
      <c r="E16" s="3" t="s">
        <v>9</v>
      </c>
      <c r="F16" s="3">
        <v>24</v>
      </c>
      <c r="G16" s="4">
        <v>280000</v>
      </c>
      <c r="H16" s="4">
        <f t="shared" si="0"/>
        <v>6720000</v>
      </c>
    </row>
    <row r="17" spans="1:8" ht="15.75" x14ac:dyDescent="0.5">
      <c r="A17" s="2">
        <v>15</v>
      </c>
      <c r="B17" s="2" t="s">
        <v>41</v>
      </c>
      <c r="C17" s="2" t="s">
        <v>42</v>
      </c>
      <c r="D17" s="2" t="s">
        <v>40</v>
      </c>
      <c r="E17" s="3" t="s">
        <v>9</v>
      </c>
      <c r="F17" s="3">
        <v>48</v>
      </c>
      <c r="G17" s="4">
        <v>40000</v>
      </c>
      <c r="H17" s="4">
        <f t="shared" si="0"/>
        <v>1920000</v>
      </c>
    </row>
    <row r="18" spans="1:8" ht="15.75" x14ac:dyDescent="0.5">
      <c r="A18" s="7"/>
      <c r="B18" s="8" t="s">
        <v>80</v>
      </c>
      <c r="C18" s="9"/>
      <c r="D18" s="7"/>
      <c r="E18" s="10"/>
      <c r="F18" s="10">
        <f>SUM(F3:F17)</f>
        <v>307</v>
      </c>
      <c r="G18" s="11">
        <f>SUM(G3:G17)</f>
        <v>1540000</v>
      </c>
      <c r="H18" s="11">
        <f>SUM(H3:H17)</f>
        <v>24590000</v>
      </c>
    </row>
  </sheetData>
  <mergeCells count="2">
    <mergeCell ref="B18:C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sqref="A1:H1"/>
    </sheetView>
  </sheetViews>
  <sheetFormatPr defaultRowHeight="14.25" x14ac:dyDescent="0.45"/>
  <cols>
    <col min="1" max="1" width="13.796875" customWidth="1"/>
    <col min="2" max="2" width="23.06640625" customWidth="1"/>
    <col min="3" max="3" width="13.796875" customWidth="1"/>
    <col min="4" max="5" width="8.19921875" customWidth="1"/>
    <col min="6" max="6" width="13.796875" style="12" customWidth="1"/>
    <col min="7" max="7" width="16.796875" style="12" customWidth="1"/>
  </cols>
  <sheetData>
    <row r="1" spans="1:8" ht="18" x14ac:dyDescent="0.55000000000000004">
      <c r="A1" s="18" t="s">
        <v>81</v>
      </c>
      <c r="B1" s="18"/>
      <c r="C1" s="18"/>
      <c r="D1" s="18"/>
      <c r="E1" s="18"/>
      <c r="F1" s="18"/>
      <c r="G1" s="18"/>
      <c r="H1" s="18"/>
    </row>
    <row r="2" spans="1:8" x14ac:dyDescent="0.4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  <c r="G2" s="17" t="s">
        <v>80</v>
      </c>
    </row>
    <row r="3" spans="1:8" x14ac:dyDescent="0.45">
      <c r="A3" s="1" t="s">
        <v>43</v>
      </c>
      <c r="B3" s="1" t="s">
        <v>44</v>
      </c>
      <c r="C3" s="1" t="s">
        <v>45</v>
      </c>
      <c r="D3" s="1" t="s">
        <v>46</v>
      </c>
      <c r="E3" s="1">
        <v>4</v>
      </c>
      <c r="F3" s="13">
        <v>200000</v>
      </c>
      <c r="G3" s="13">
        <f>E3*F3</f>
        <v>800000</v>
      </c>
    </row>
    <row r="4" spans="1:8" x14ac:dyDescent="0.45">
      <c r="A4" s="1" t="s">
        <v>47</v>
      </c>
      <c r="B4" s="1" t="s">
        <v>48</v>
      </c>
      <c r="C4" s="1" t="s">
        <v>45</v>
      </c>
      <c r="D4" s="1" t="s">
        <v>46</v>
      </c>
      <c r="E4" s="1">
        <v>4</v>
      </c>
      <c r="F4" s="13">
        <v>180000</v>
      </c>
      <c r="G4" s="13">
        <f t="shared" ref="G4:G12" si="0">E4*F4</f>
        <v>720000</v>
      </c>
    </row>
    <row r="5" spans="1:8" x14ac:dyDescent="0.45">
      <c r="A5" s="1" t="s">
        <v>49</v>
      </c>
      <c r="B5" s="1" t="s">
        <v>50</v>
      </c>
      <c r="C5" s="1" t="s">
        <v>45</v>
      </c>
      <c r="D5" s="1" t="s">
        <v>46</v>
      </c>
      <c r="E5" s="1">
        <v>4</v>
      </c>
      <c r="F5" s="13">
        <v>250000</v>
      </c>
      <c r="G5" s="13">
        <f t="shared" si="0"/>
        <v>1000000</v>
      </c>
    </row>
    <row r="6" spans="1:8" x14ac:dyDescent="0.45">
      <c r="A6" s="1" t="s">
        <v>51</v>
      </c>
      <c r="B6" s="1" t="s">
        <v>52</v>
      </c>
      <c r="C6" s="1" t="s">
        <v>45</v>
      </c>
      <c r="D6" s="1" t="s">
        <v>46</v>
      </c>
      <c r="E6" s="1">
        <v>4</v>
      </c>
      <c r="F6" s="13">
        <v>150000</v>
      </c>
      <c r="G6" s="13">
        <f t="shared" si="0"/>
        <v>600000</v>
      </c>
    </row>
    <row r="7" spans="1:8" x14ac:dyDescent="0.45">
      <c r="A7" s="1" t="s">
        <v>53</v>
      </c>
      <c r="B7" s="1" t="s">
        <v>54</v>
      </c>
      <c r="C7" s="1" t="s">
        <v>45</v>
      </c>
      <c r="D7" s="1" t="s">
        <v>46</v>
      </c>
      <c r="E7" s="1">
        <v>4</v>
      </c>
      <c r="F7" s="13">
        <v>350000</v>
      </c>
      <c r="G7" s="13">
        <f t="shared" si="0"/>
        <v>1400000</v>
      </c>
    </row>
    <row r="8" spans="1:8" x14ac:dyDescent="0.45">
      <c r="A8" s="1" t="s">
        <v>55</v>
      </c>
      <c r="B8" s="1" t="s">
        <v>56</v>
      </c>
      <c r="C8" s="1" t="s">
        <v>57</v>
      </c>
      <c r="D8" s="1" t="s">
        <v>46</v>
      </c>
      <c r="E8" s="1">
        <v>4</v>
      </c>
      <c r="F8" s="13">
        <v>600000</v>
      </c>
      <c r="G8" s="13">
        <f t="shared" si="0"/>
        <v>2400000</v>
      </c>
    </row>
    <row r="9" spans="1:8" x14ac:dyDescent="0.45">
      <c r="A9" s="1" t="s">
        <v>58</v>
      </c>
      <c r="B9" s="1" t="s">
        <v>59</v>
      </c>
      <c r="C9" s="1" t="s">
        <v>37</v>
      </c>
      <c r="D9" s="1" t="s">
        <v>46</v>
      </c>
      <c r="E9" s="1">
        <v>4</v>
      </c>
      <c r="F9" s="13">
        <v>850000</v>
      </c>
      <c r="G9" s="13">
        <f t="shared" si="0"/>
        <v>3400000</v>
      </c>
    </row>
    <row r="10" spans="1:8" x14ac:dyDescent="0.45">
      <c r="A10" s="1" t="s">
        <v>60</v>
      </c>
      <c r="B10" s="1" t="s">
        <v>61</v>
      </c>
      <c r="C10" s="1" t="s">
        <v>37</v>
      </c>
      <c r="D10" s="1" t="s">
        <v>46</v>
      </c>
      <c r="E10" s="1">
        <v>4</v>
      </c>
      <c r="F10" s="13">
        <v>1100000</v>
      </c>
      <c r="G10" s="13">
        <f t="shared" si="0"/>
        <v>4400000</v>
      </c>
    </row>
    <row r="11" spans="1:8" x14ac:dyDescent="0.45">
      <c r="A11" s="1" t="s">
        <v>62</v>
      </c>
      <c r="B11" s="1" t="s">
        <v>63</v>
      </c>
      <c r="C11" s="1" t="s">
        <v>64</v>
      </c>
      <c r="D11" s="1" t="s">
        <v>46</v>
      </c>
      <c r="E11" s="1">
        <v>2</v>
      </c>
      <c r="F11" s="13">
        <v>350000</v>
      </c>
      <c r="G11" s="13">
        <f t="shared" si="0"/>
        <v>700000</v>
      </c>
    </row>
    <row r="12" spans="1:8" x14ac:dyDescent="0.45">
      <c r="A12" s="1" t="s">
        <v>65</v>
      </c>
      <c r="B12" s="1" t="s">
        <v>66</v>
      </c>
      <c r="C12" s="1" t="s">
        <v>64</v>
      </c>
      <c r="D12" s="1" t="s">
        <v>46</v>
      </c>
      <c r="E12" s="1">
        <v>2</v>
      </c>
      <c r="F12" s="13">
        <v>120000</v>
      </c>
      <c r="G12" s="13">
        <f t="shared" si="0"/>
        <v>240000</v>
      </c>
    </row>
    <row r="13" spans="1:8" x14ac:dyDescent="0.45">
      <c r="A13" s="14"/>
      <c r="B13" s="14" t="s">
        <v>80</v>
      </c>
      <c r="C13" s="14"/>
      <c r="D13" s="14"/>
      <c r="E13" s="14">
        <f>SUM(E3:E12)</f>
        <v>36</v>
      </c>
      <c r="F13" s="15">
        <f t="shared" ref="F13:G13" si="1">SUM(F3:F12)</f>
        <v>4150000</v>
      </c>
      <c r="G13" s="15">
        <f t="shared" si="1"/>
        <v>15660000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C19" sqref="C19"/>
    </sheetView>
  </sheetViews>
  <sheetFormatPr defaultRowHeight="15.75" x14ac:dyDescent="0.5"/>
  <cols>
    <col min="1" max="1" width="13.73046875" style="24" customWidth="1"/>
    <col min="2" max="2" width="20.73046875" style="24" customWidth="1"/>
    <col min="3" max="3" width="11.86328125" style="24" customWidth="1"/>
    <col min="4" max="5" width="10.796875" style="25" customWidth="1"/>
    <col min="6" max="6" width="14.33203125" style="24" customWidth="1"/>
    <col min="7" max="7" width="13.3984375" style="24" bestFit="1" customWidth="1"/>
    <col min="8" max="16384" width="9.06640625" style="24"/>
  </cols>
  <sheetData>
    <row r="1" spans="1:7" x14ac:dyDescent="0.5">
      <c r="A1" s="23" t="s">
        <v>81</v>
      </c>
      <c r="B1" s="23"/>
      <c r="C1" s="23"/>
      <c r="D1" s="23"/>
      <c r="E1" s="23"/>
      <c r="F1" s="23"/>
      <c r="G1" s="23"/>
    </row>
    <row r="2" spans="1:7" x14ac:dyDescent="0.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80</v>
      </c>
    </row>
    <row r="3" spans="1:7" x14ac:dyDescent="0.5">
      <c r="A3" s="2" t="s">
        <v>67</v>
      </c>
      <c r="B3" s="2" t="s">
        <v>68</v>
      </c>
      <c r="C3" s="2" t="s">
        <v>69</v>
      </c>
      <c r="D3" s="3" t="s">
        <v>70</v>
      </c>
      <c r="E3" s="3">
        <v>1</v>
      </c>
      <c r="F3" s="19">
        <v>2500000</v>
      </c>
      <c r="G3" s="19">
        <f>E3*F3</f>
        <v>2500000</v>
      </c>
    </row>
    <row r="4" spans="1:7" x14ac:dyDescent="0.5">
      <c r="A4" s="2" t="s">
        <v>71</v>
      </c>
      <c r="B4" s="2" t="s">
        <v>72</v>
      </c>
      <c r="C4" s="2" t="s">
        <v>69</v>
      </c>
      <c r="D4" s="3" t="s">
        <v>70</v>
      </c>
      <c r="E4" s="3">
        <v>1</v>
      </c>
      <c r="F4" s="19">
        <v>1800000</v>
      </c>
      <c r="G4" s="19">
        <f t="shared" ref="G4:G7" si="0">E4*F4</f>
        <v>1800000</v>
      </c>
    </row>
    <row r="5" spans="1:7" x14ac:dyDescent="0.5">
      <c r="A5" s="2" t="s">
        <v>73</v>
      </c>
      <c r="B5" s="2" t="s">
        <v>74</v>
      </c>
      <c r="C5" s="2" t="s">
        <v>69</v>
      </c>
      <c r="D5" s="3" t="s">
        <v>70</v>
      </c>
      <c r="E5" s="3">
        <v>1</v>
      </c>
      <c r="F5" s="19">
        <v>650000</v>
      </c>
      <c r="G5" s="19">
        <f t="shared" si="0"/>
        <v>650000</v>
      </c>
    </row>
    <row r="6" spans="1:7" x14ac:dyDescent="0.5">
      <c r="A6" s="2" t="s">
        <v>75</v>
      </c>
      <c r="B6" s="2" t="s">
        <v>76</v>
      </c>
      <c r="C6" s="2" t="s">
        <v>69</v>
      </c>
      <c r="D6" s="3" t="s">
        <v>70</v>
      </c>
      <c r="E6" s="3">
        <v>1</v>
      </c>
      <c r="F6" s="19">
        <v>1200000</v>
      </c>
      <c r="G6" s="19">
        <f t="shared" si="0"/>
        <v>1200000</v>
      </c>
    </row>
    <row r="7" spans="1:7" x14ac:dyDescent="0.5">
      <c r="A7" s="2" t="s">
        <v>77</v>
      </c>
      <c r="B7" s="2" t="s">
        <v>78</v>
      </c>
      <c r="C7" s="2" t="s">
        <v>69</v>
      </c>
      <c r="D7" s="3" t="s">
        <v>70</v>
      </c>
      <c r="E7" s="3">
        <v>1</v>
      </c>
      <c r="F7" s="19">
        <v>500000</v>
      </c>
      <c r="G7" s="19">
        <f t="shared" si="0"/>
        <v>500000</v>
      </c>
    </row>
    <row r="8" spans="1:7" x14ac:dyDescent="0.5">
      <c r="A8" s="20"/>
      <c r="B8" s="20" t="s">
        <v>80</v>
      </c>
      <c r="C8" s="20"/>
      <c r="D8" s="5"/>
      <c r="E8" s="21">
        <f t="shared" ref="E8:F8" si="1">SUM(E3:E7)</f>
        <v>5</v>
      </c>
      <c r="F8" s="22">
        <f t="shared" si="1"/>
        <v>6650000</v>
      </c>
      <c r="G8" s="22">
        <f>SUM(G3:G7)</f>
        <v>6650000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 1</vt:lpstr>
      <vt:lpstr>Level 2</vt:lpstr>
      <vt:lpstr>Level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Spin 3</cp:lastModifiedBy>
  <dcterms:created xsi:type="dcterms:W3CDTF">2026-06-11T03:28:24Z</dcterms:created>
  <dcterms:modified xsi:type="dcterms:W3CDTF">2026-06-11T03:57:52Z</dcterms:modified>
</cp:coreProperties>
</file>